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ul-\Desktop\REPO NUEVO\ProyectoFinalDaw\Documentacion\"/>
    </mc:Choice>
  </mc:AlternateContent>
  <bookViews>
    <workbookView xWindow="0" yWindow="0" windowWidth="28800" windowHeight="12330" activeTab="1"/>
  </bookViews>
  <sheets>
    <sheet name="Instrucciones" sheetId="2" r:id="rId1"/>
    <sheet name="Gant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" l="1"/>
  <c r="L22" i="1" s="1"/>
  <c r="H8" i="1" l="1"/>
  <c r="K9" i="1" l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8" i="1"/>
  <c r="L8" i="1" s="1"/>
  <c r="G9" i="1" l="1"/>
  <c r="H9" i="1" s="1"/>
  <c r="G10" i="1" s="1"/>
  <c r="H10" i="1" s="1"/>
  <c r="G11" i="1" s="1"/>
  <c r="H11" i="1" s="1"/>
  <c r="G12" i="1" s="1"/>
  <c r="H12" i="1" l="1"/>
  <c r="G13" i="1" s="1"/>
  <c r="H13" i="1" s="1"/>
  <c r="G14" i="1" s="1"/>
  <c r="H14" i="1" s="1"/>
  <c r="G15" i="1" s="1"/>
  <c r="H15" i="1" s="1"/>
  <c r="G16" i="1" s="1"/>
  <c r="H16" i="1" l="1"/>
  <c r="G17" i="1" s="1"/>
  <c r="H17" i="1" l="1"/>
  <c r="G18" i="1" s="1"/>
  <c r="H18" i="1" s="1"/>
  <c r="G19" i="1" s="1"/>
  <c r="H19" i="1" s="1"/>
  <c r="G20" i="1" s="1"/>
  <c r="H20" i="1" s="1"/>
  <c r="G21" i="1" s="1"/>
  <c r="H21" i="1" s="1"/>
  <c r="G22" i="1" s="1"/>
  <c r="H22" i="1" s="1"/>
</calcChain>
</file>

<file path=xl/sharedStrings.xml><?xml version="1.0" encoding="utf-8"?>
<sst xmlns="http://schemas.openxmlformats.org/spreadsheetml/2006/main" count="31" uniqueCount="31">
  <si>
    <t>Fecha de Inicio</t>
  </si>
  <si>
    <t>Fecha de Finalización</t>
  </si>
  <si>
    <t>Duración</t>
  </si>
  <si>
    <t>Progreso</t>
  </si>
  <si>
    <t>Días completados</t>
  </si>
  <si>
    <t>Días para finalizar</t>
  </si>
  <si>
    <t>Proyecto ServiRep</t>
  </si>
  <si>
    <t>Sprint 1</t>
  </si>
  <si>
    <t>Sprint 2</t>
  </si>
  <si>
    <t>Sprint 3</t>
  </si>
  <si>
    <t>Sprint 4</t>
  </si>
  <si>
    <t>Modelo BBDD</t>
  </si>
  <si>
    <t>MockUps</t>
  </si>
  <si>
    <t>Revisión Login y Registro</t>
  </si>
  <si>
    <t>Validaciones Login y Registro</t>
  </si>
  <si>
    <t xml:space="preserve">Sprint </t>
  </si>
  <si>
    <t>Consultar Ticket Gestor (Inc Modificaciónes)</t>
  </si>
  <si>
    <t>Creación Ticket Gestor</t>
  </si>
  <si>
    <t>Consultar Tareas Operario (Inc Modificaciones)</t>
  </si>
  <si>
    <t>Ranking Trabajadores</t>
  </si>
  <si>
    <t>Foro</t>
  </si>
  <si>
    <t>Navegación sin funcionalidad (Contenido general)</t>
  </si>
  <si>
    <t>Revisión funcionamiento general, errores…</t>
  </si>
  <si>
    <t>Revisión Documentación</t>
  </si>
  <si>
    <t>Sprint 5</t>
  </si>
  <si>
    <t xml:space="preserve">Tareas </t>
  </si>
  <si>
    <t>Sprint Final</t>
  </si>
  <si>
    <t>Dockerizar proyecto</t>
  </si>
  <si>
    <t>Administrar usuarios (Admin)</t>
  </si>
  <si>
    <t>Contacto (Crear incidencia Usuario)</t>
  </si>
  <si>
    <t>Consultar Ticket Usuario (Inc Modificar)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</si>
</sst>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trike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C8C8C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2" tint="-9.9948118533890809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8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14" fontId="3" fillId="0" borderId="14" xfId="0" applyNumberFormat="1" applyFont="1" applyBorder="1"/>
    <xf numFmtId="0" fontId="3" fillId="0" borderId="15" xfId="0" applyFont="1" applyBorder="1"/>
    <xf numFmtId="14" fontId="3" fillId="0" borderId="16" xfId="0" applyNumberFormat="1" applyFont="1" applyBorder="1"/>
    <xf numFmtId="14" fontId="3" fillId="0" borderId="9" xfId="0" applyNumberFormat="1" applyFont="1" applyBorder="1"/>
    <xf numFmtId="14" fontId="3" fillId="0" borderId="17" xfId="0" applyNumberFormat="1" applyFont="1" applyBorder="1"/>
    <xf numFmtId="0" fontId="3" fillId="0" borderId="18" xfId="0" applyFont="1" applyBorder="1"/>
    <xf numFmtId="14" fontId="3" fillId="0" borderId="22" xfId="0" applyNumberFormat="1" applyFont="1" applyBorder="1"/>
    <xf numFmtId="0" fontId="3" fillId="0" borderId="23" xfId="0" applyFont="1" applyBorder="1"/>
    <xf numFmtId="9" fontId="3" fillId="0" borderId="24" xfId="0" applyNumberFormat="1" applyFont="1" applyBorder="1"/>
    <xf numFmtId="0" fontId="3" fillId="0" borderId="24" xfId="0" applyFont="1" applyBorder="1"/>
    <xf numFmtId="0" fontId="3" fillId="3" borderId="25" xfId="0" applyFont="1" applyFill="1" applyBorder="1"/>
    <xf numFmtId="0" fontId="3" fillId="0" borderId="26" xfId="0" applyFont="1" applyBorder="1"/>
    <xf numFmtId="14" fontId="3" fillId="0" borderId="27" xfId="0" applyNumberFormat="1" applyFont="1" applyBorder="1"/>
    <xf numFmtId="0" fontId="6" fillId="0" borderId="5" xfId="0" applyFont="1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Modelo BBDD</c:v>
                </c:pt>
                <c:pt idx="1">
                  <c:v>MockUps</c:v>
                </c:pt>
                <c:pt idx="2">
                  <c:v>Revisión Login y Registro</c:v>
                </c:pt>
                <c:pt idx="3">
                  <c:v>Validaciones Login y Registro</c:v>
                </c:pt>
                <c:pt idx="4">
                  <c:v>Contacto (Crear incidencia Usuario)</c:v>
                </c:pt>
                <c:pt idx="5">
                  <c:v>Consultar Ticket Usuario (Inc Modificar)</c:v>
                </c:pt>
                <c:pt idx="6">
                  <c:v>Creación Ticket Gestor</c:v>
                </c:pt>
                <c:pt idx="7">
                  <c:v>Consultar Ticket Gestor (Inc Modificaciónes)</c:v>
                </c:pt>
                <c:pt idx="8">
                  <c:v>Consultar Tareas Operario (Inc Modificaciones)</c:v>
                </c:pt>
                <c:pt idx="9">
                  <c:v>Ranking Trabajadores</c:v>
                </c:pt>
                <c:pt idx="10">
                  <c:v>Foro</c:v>
                </c:pt>
                <c:pt idx="11">
                  <c:v>Navegación sin funcionalidad (Contenido general)</c:v>
                </c:pt>
                <c:pt idx="12">
                  <c:v>Administrar usuarios (Admin)</c:v>
                </c:pt>
                <c:pt idx="13">
                  <c:v>Revisión funcionamiento general, errores…</c:v>
                </c:pt>
                <c:pt idx="14">
                  <c:v>Dockerizar proyecto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44177</c:v>
                </c:pt>
                <c:pt idx="1">
                  <c:v>44179</c:v>
                </c:pt>
                <c:pt idx="2">
                  <c:v>44181</c:v>
                </c:pt>
                <c:pt idx="3">
                  <c:v>44185</c:v>
                </c:pt>
                <c:pt idx="4">
                  <c:v>44188</c:v>
                </c:pt>
                <c:pt idx="5">
                  <c:v>44194</c:v>
                </c:pt>
                <c:pt idx="6">
                  <c:v>44200</c:v>
                </c:pt>
                <c:pt idx="7">
                  <c:v>44206</c:v>
                </c:pt>
                <c:pt idx="8">
                  <c:v>44212</c:v>
                </c:pt>
                <c:pt idx="9">
                  <c:v>44218</c:v>
                </c:pt>
                <c:pt idx="10">
                  <c:v>44224</c:v>
                </c:pt>
                <c:pt idx="11">
                  <c:v>44230</c:v>
                </c:pt>
                <c:pt idx="12">
                  <c:v>44235</c:v>
                </c:pt>
                <c:pt idx="13">
                  <c:v>44240</c:v>
                </c:pt>
                <c:pt idx="14">
                  <c:v>44246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A-44F8-A5E8-815CF025CC0B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0</c:v>
                </c:pt>
                <c:pt idx="10">
                  <c:v>3</c:v>
                </c:pt>
                <c:pt idx="11">
                  <c:v>0.8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EA-44F8-A5E8-815CF025CC0B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3.2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EA-44F8-A5E8-815CF025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4177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laexcel.com?ref=spreadsheet_logo" TargetMode="External"/><Relationship Id="rId1" Type="http://schemas.openxmlformats.org/officeDocument/2006/relationships/chart" Target="../charts/chart1.xml"/><Relationship Id="rId5" Type="http://schemas.openxmlformats.org/officeDocument/2006/relationships/image" Target="file:///C:\Users\Cecilia\AppData\Roaming\Microsoft\Excel\XLSTART/header/envelope.png" TargetMode="External"/><Relationship Id="rId4" Type="http://schemas.openxmlformats.org/officeDocument/2006/relationships/hyperlink" Target="http://planillaexcel.com/contactanos?ref=spreadsheet_contac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/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103620</xdr:colOff>
      <xdr:row>0</xdr:row>
      <xdr:rowOff>152400</xdr:rowOff>
    </xdr:from>
    <xdr:to>
      <xdr:col>7</xdr:col>
      <xdr:colOff>256020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/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workbookViewId="0">
      <selection activeCell="O19" sqref="O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V49"/>
  <sheetViews>
    <sheetView showGridLines="0" tabSelected="1" topLeftCell="A4" zoomScale="55" zoomScaleNormal="55" workbookViewId="0">
      <selection activeCell="F17" sqref="F17"/>
    </sheetView>
  </sheetViews>
  <sheetFormatPr baseColWidth="10" defaultRowHeight="15" x14ac:dyDescent="0.25"/>
  <cols>
    <col min="1" max="1" width="14.85546875" customWidth="1"/>
    <col min="2" max="2" width="20.28515625" customWidth="1"/>
    <col min="3" max="3" width="9.28515625" customWidth="1"/>
    <col min="4" max="4" width="19.7109375" customWidth="1"/>
    <col min="5" max="5" width="24" hidden="1" customWidth="1"/>
    <col min="6" max="6" width="64.570312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34" t="s">
        <v>6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</row>
    <row r="6" spans="2:22" ht="15.75" thickBot="1" x14ac:dyDescent="0.3"/>
    <row r="7" spans="2:22" ht="21.75" thickTop="1" x14ac:dyDescent="0.35">
      <c r="D7" s="9" t="s">
        <v>15</v>
      </c>
      <c r="F7" s="9" t="s">
        <v>25</v>
      </c>
      <c r="G7" s="10" t="s">
        <v>0</v>
      </c>
      <c r="H7" s="10" t="s">
        <v>1</v>
      </c>
      <c r="I7" s="10" t="s">
        <v>2</v>
      </c>
      <c r="J7" s="10" t="s">
        <v>3</v>
      </c>
      <c r="K7" s="10" t="s">
        <v>4</v>
      </c>
      <c r="L7" s="11" t="s">
        <v>5</v>
      </c>
      <c r="M7" s="7"/>
      <c r="N7" s="7"/>
      <c r="O7" s="7"/>
      <c r="P7" s="7"/>
      <c r="Q7" s="7"/>
      <c r="R7" s="7"/>
      <c r="S7" s="7"/>
    </row>
    <row r="8" spans="2:22" ht="18.75" x14ac:dyDescent="0.3">
      <c r="D8" s="35" t="s">
        <v>7</v>
      </c>
      <c r="F8" s="12" t="s">
        <v>11</v>
      </c>
      <c r="G8" s="13">
        <v>44177</v>
      </c>
      <c r="H8" s="13">
        <f>I8+G8</f>
        <v>44178</v>
      </c>
      <c r="I8" s="14">
        <v>1</v>
      </c>
      <c r="J8" s="15">
        <v>1</v>
      </c>
      <c r="K8" s="14">
        <f>+I8*J8</f>
        <v>1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3">
      <c r="D9" s="36"/>
      <c r="F9" s="12" t="s">
        <v>12</v>
      </c>
      <c r="G9" s="13">
        <f>H8+1</f>
        <v>44179</v>
      </c>
      <c r="H9" s="13">
        <f>I9+G9</f>
        <v>44180</v>
      </c>
      <c r="I9" s="14">
        <v>1</v>
      </c>
      <c r="J9" s="15">
        <v>1</v>
      </c>
      <c r="K9" s="14">
        <f t="shared" ref="K9:K22" si="0">+I9*J9</f>
        <v>1</v>
      </c>
      <c r="L9" s="16">
        <f t="shared" ref="L9:L22" si="1">I9-K9</f>
        <v>0</v>
      </c>
      <c r="M9" s="8"/>
      <c r="N9" s="3"/>
      <c r="O9" s="7"/>
      <c r="P9" s="7"/>
      <c r="Q9" s="8"/>
      <c r="R9" s="8"/>
      <c r="S9" s="4"/>
    </row>
    <row r="10" spans="2:22" ht="19.5" thickBot="1" x14ac:dyDescent="0.35">
      <c r="D10" s="36"/>
      <c r="F10" s="12" t="s">
        <v>13</v>
      </c>
      <c r="G10" s="13">
        <f>H9+1</f>
        <v>44181</v>
      </c>
      <c r="H10" s="19">
        <f t="shared" ref="H10:H21" si="2">I10+G10</f>
        <v>44184</v>
      </c>
      <c r="I10" s="14">
        <v>3</v>
      </c>
      <c r="J10" s="15">
        <v>1</v>
      </c>
      <c r="K10" s="14">
        <f t="shared" si="0"/>
        <v>3</v>
      </c>
      <c r="L10" s="16">
        <f t="shared" si="1"/>
        <v>0</v>
      </c>
      <c r="M10" s="8"/>
      <c r="N10" s="3"/>
      <c r="O10" s="7"/>
      <c r="P10" s="7"/>
      <c r="Q10" s="8"/>
      <c r="R10" s="8"/>
      <c r="S10" s="4"/>
    </row>
    <row r="11" spans="2:22" ht="19.5" thickBot="1" x14ac:dyDescent="0.35">
      <c r="D11" s="36"/>
      <c r="F11" s="12" t="s">
        <v>14</v>
      </c>
      <c r="G11" s="17">
        <f t="shared" ref="G11:G22" si="3">H10+1</f>
        <v>44185</v>
      </c>
      <c r="H11" s="20">
        <f t="shared" si="2"/>
        <v>44187</v>
      </c>
      <c r="I11" s="18">
        <v>2</v>
      </c>
      <c r="J11" s="15">
        <v>1</v>
      </c>
      <c r="K11" s="14">
        <f t="shared" si="0"/>
        <v>2</v>
      </c>
      <c r="L11" s="16">
        <f t="shared" si="1"/>
        <v>0</v>
      </c>
      <c r="M11" s="5"/>
      <c r="N11" s="5"/>
      <c r="O11" s="5"/>
      <c r="P11" s="5"/>
      <c r="Q11" s="5"/>
      <c r="R11" s="5"/>
      <c r="S11" s="5"/>
    </row>
    <row r="12" spans="2:22" ht="19.5" thickBot="1" x14ac:dyDescent="0.35">
      <c r="D12" s="37" t="s">
        <v>8</v>
      </c>
      <c r="F12" s="12" t="s">
        <v>29</v>
      </c>
      <c r="G12" s="13">
        <f t="shared" si="3"/>
        <v>44188</v>
      </c>
      <c r="H12" s="21">
        <f>I12+G12</f>
        <v>44193</v>
      </c>
      <c r="I12" s="14">
        <v>5</v>
      </c>
      <c r="J12" s="15">
        <v>1</v>
      </c>
      <c r="K12" s="14">
        <f t="shared" si="0"/>
        <v>5</v>
      </c>
      <c r="L12" s="16">
        <f t="shared" si="1"/>
        <v>0</v>
      </c>
    </row>
    <row r="13" spans="2:22" ht="19.5" thickBot="1" x14ac:dyDescent="0.35">
      <c r="D13" s="38"/>
      <c r="F13" s="12" t="s">
        <v>30</v>
      </c>
      <c r="G13" s="17">
        <f t="shared" si="3"/>
        <v>44194</v>
      </c>
      <c r="H13" s="20">
        <f>I13+G13</f>
        <v>44199</v>
      </c>
      <c r="I13" s="18">
        <v>5</v>
      </c>
      <c r="J13" s="15">
        <v>1</v>
      </c>
      <c r="K13" s="14">
        <f t="shared" si="0"/>
        <v>5</v>
      </c>
      <c r="L13" s="16">
        <f t="shared" si="1"/>
        <v>0</v>
      </c>
    </row>
    <row r="14" spans="2:22" ht="19.5" thickBot="1" x14ac:dyDescent="0.35">
      <c r="D14" s="37" t="s">
        <v>9</v>
      </c>
      <c r="F14" s="30" t="s">
        <v>17</v>
      </c>
      <c r="G14" s="13">
        <f t="shared" si="3"/>
        <v>44200</v>
      </c>
      <c r="H14" s="21">
        <f t="shared" si="2"/>
        <v>44205</v>
      </c>
      <c r="I14" s="14">
        <v>5</v>
      </c>
      <c r="J14" s="15">
        <v>1</v>
      </c>
      <c r="K14" s="14">
        <f t="shared" si="0"/>
        <v>5</v>
      </c>
      <c r="L14" s="16">
        <f t="shared" si="1"/>
        <v>0</v>
      </c>
    </row>
    <row r="15" spans="2:22" ht="19.5" thickBot="1" x14ac:dyDescent="0.35">
      <c r="D15" s="38"/>
      <c r="F15" s="12" t="s">
        <v>16</v>
      </c>
      <c r="G15" s="17">
        <f t="shared" si="3"/>
        <v>44206</v>
      </c>
      <c r="H15" s="20">
        <f t="shared" si="2"/>
        <v>44211</v>
      </c>
      <c r="I15" s="18">
        <v>5</v>
      </c>
      <c r="J15" s="15">
        <v>1</v>
      </c>
      <c r="K15" s="14">
        <f t="shared" si="0"/>
        <v>5</v>
      </c>
      <c r="L15" s="16">
        <f t="shared" si="1"/>
        <v>0</v>
      </c>
    </row>
    <row r="16" spans="2:22" ht="19.5" thickBot="1" x14ac:dyDescent="0.35">
      <c r="D16" s="37" t="s">
        <v>10</v>
      </c>
      <c r="F16" s="12" t="s">
        <v>18</v>
      </c>
      <c r="G16" s="13">
        <f t="shared" si="3"/>
        <v>44212</v>
      </c>
      <c r="H16" s="21">
        <f>I16+G16</f>
        <v>44217</v>
      </c>
      <c r="I16" s="14">
        <v>5</v>
      </c>
      <c r="J16" s="15">
        <v>1</v>
      </c>
      <c r="K16" s="14">
        <f t="shared" si="0"/>
        <v>5</v>
      </c>
      <c r="L16" s="16">
        <f t="shared" si="1"/>
        <v>0</v>
      </c>
    </row>
    <row r="17" spans="4:12" ht="19.5" thickBot="1" x14ac:dyDescent="0.35">
      <c r="D17" s="36"/>
      <c r="F17" s="12" t="s">
        <v>19</v>
      </c>
      <c r="G17" s="17">
        <f t="shared" si="3"/>
        <v>44218</v>
      </c>
      <c r="H17" s="20">
        <f>I17+G17</f>
        <v>44223</v>
      </c>
      <c r="I17" s="18">
        <v>5</v>
      </c>
      <c r="J17" s="15">
        <v>0</v>
      </c>
      <c r="K17" s="14">
        <f t="shared" si="0"/>
        <v>0</v>
      </c>
      <c r="L17" s="16">
        <f t="shared" si="1"/>
        <v>5</v>
      </c>
    </row>
    <row r="18" spans="4:12" ht="18.75" x14ac:dyDescent="0.3">
      <c r="D18" s="31" t="s">
        <v>24</v>
      </c>
      <c r="F18" s="12" t="s">
        <v>20</v>
      </c>
      <c r="G18" s="13">
        <f t="shared" si="3"/>
        <v>44224</v>
      </c>
      <c r="H18" s="21">
        <f t="shared" si="2"/>
        <v>44229</v>
      </c>
      <c r="I18" s="14">
        <v>5</v>
      </c>
      <c r="J18" s="15">
        <v>0.6</v>
      </c>
      <c r="K18" s="14">
        <f t="shared" si="0"/>
        <v>3</v>
      </c>
      <c r="L18" s="16">
        <f t="shared" si="1"/>
        <v>2</v>
      </c>
    </row>
    <row r="19" spans="4:12" ht="19.5" thickBot="1" x14ac:dyDescent="0.35">
      <c r="D19" s="32"/>
      <c r="F19" s="12" t="s">
        <v>21</v>
      </c>
      <c r="G19" s="17">
        <f t="shared" si="3"/>
        <v>44230</v>
      </c>
      <c r="H19" s="29">
        <f t="shared" si="2"/>
        <v>44234</v>
      </c>
      <c r="I19" s="18">
        <v>4</v>
      </c>
      <c r="J19" s="15">
        <v>0.2</v>
      </c>
      <c r="K19" s="14">
        <f t="shared" si="0"/>
        <v>0.8</v>
      </c>
      <c r="L19" s="16">
        <f t="shared" si="1"/>
        <v>3.2</v>
      </c>
    </row>
    <row r="20" spans="4:12" ht="19.5" thickBot="1" x14ac:dyDescent="0.35">
      <c r="D20" s="33"/>
      <c r="F20" s="12" t="s">
        <v>28</v>
      </c>
      <c r="G20" s="17">
        <f>H19+1</f>
        <v>44235</v>
      </c>
      <c r="H20" s="20">
        <f t="shared" si="2"/>
        <v>44239</v>
      </c>
      <c r="I20" s="18">
        <v>4</v>
      </c>
      <c r="J20" s="15">
        <v>1</v>
      </c>
      <c r="K20" s="14">
        <f t="shared" si="0"/>
        <v>4</v>
      </c>
      <c r="L20" s="16">
        <f t="shared" si="1"/>
        <v>0</v>
      </c>
    </row>
    <row r="21" spans="4:12" ht="18.75" x14ac:dyDescent="0.3">
      <c r="D21" s="31" t="s">
        <v>26</v>
      </c>
      <c r="F21" s="12" t="s">
        <v>22</v>
      </c>
      <c r="G21" s="13">
        <f t="shared" si="3"/>
        <v>44240</v>
      </c>
      <c r="H21" s="21">
        <f t="shared" si="2"/>
        <v>44245</v>
      </c>
      <c r="I21" s="14">
        <v>5</v>
      </c>
      <c r="J21" s="15">
        <v>0</v>
      </c>
      <c r="K21" s="14">
        <f t="shared" si="0"/>
        <v>0</v>
      </c>
      <c r="L21" s="16">
        <f t="shared" si="1"/>
        <v>5</v>
      </c>
    </row>
    <row r="22" spans="4:12" ht="19.5" thickBot="1" x14ac:dyDescent="0.35">
      <c r="D22" s="32"/>
      <c r="F22" s="12" t="s">
        <v>27</v>
      </c>
      <c r="G22" s="17">
        <f t="shared" si="3"/>
        <v>44246</v>
      </c>
      <c r="H22" s="29">
        <f>I22+G22</f>
        <v>44251</v>
      </c>
      <c r="I22" s="28">
        <v>5</v>
      </c>
      <c r="J22" s="15">
        <v>0</v>
      </c>
      <c r="K22" s="14">
        <f t="shared" si="0"/>
        <v>0</v>
      </c>
      <c r="L22" s="16">
        <f t="shared" si="1"/>
        <v>5</v>
      </c>
    </row>
    <row r="23" spans="4:12" ht="19.5" thickBot="1" x14ac:dyDescent="0.35">
      <c r="D23" s="33"/>
      <c r="F23" s="22" t="s">
        <v>23</v>
      </c>
      <c r="G23" s="23">
        <v>44252</v>
      </c>
      <c r="H23" s="20">
        <v>44259</v>
      </c>
      <c r="I23" s="24">
        <v>7</v>
      </c>
      <c r="J23" s="25">
        <v>0</v>
      </c>
      <c r="K23" s="26">
        <v>0</v>
      </c>
      <c r="L23" s="27">
        <v>7</v>
      </c>
    </row>
    <row r="48" s="1" customFormat="1" x14ac:dyDescent="0.25"/>
    <row r="49" s="1" customFormat="1" x14ac:dyDescent="0.25"/>
  </sheetData>
  <mergeCells count="7">
    <mergeCell ref="D18:D20"/>
    <mergeCell ref="D21:D23"/>
    <mergeCell ref="B5:V5"/>
    <mergeCell ref="D8:D11"/>
    <mergeCell ref="D12:D13"/>
    <mergeCell ref="D14:D15"/>
    <mergeCell ref="D16:D17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Raúl Naranjo</cp:lastModifiedBy>
  <dcterms:created xsi:type="dcterms:W3CDTF">2015-09-23T21:27:23Z</dcterms:created>
  <dcterms:modified xsi:type="dcterms:W3CDTF">2021-02-18T00:47:36Z</dcterms:modified>
</cp:coreProperties>
</file>