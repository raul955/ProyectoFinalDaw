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raul-\Desktop\REPO NUEVO\ProyectoFinalDaw\Documentacion\"/>
    </mc:Choice>
  </mc:AlternateContent>
  <bookViews>
    <workbookView xWindow="0" yWindow="0" windowWidth="28800" windowHeight="12330" activeTab="1"/>
  </bookViews>
  <sheets>
    <sheet name="Instrucciones" sheetId="2" r:id="rId1"/>
    <sheet name="Gantt" sheetId="1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2" i="1" l="1"/>
  <c r="L22" i="1" s="1"/>
  <c r="H8" i="1" l="1"/>
  <c r="K9" i="1" l="1"/>
  <c r="L9" i="1" s="1"/>
  <c r="K10" i="1"/>
  <c r="L10" i="1" s="1"/>
  <c r="K11" i="1"/>
  <c r="L11" i="1" s="1"/>
  <c r="K12" i="1"/>
  <c r="L12" i="1" s="1"/>
  <c r="K13" i="1"/>
  <c r="L13" i="1" s="1"/>
  <c r="K14" i="1"/>
  <c r="L14" i="1" s="1"/>
  <c r="K15" i="1"/>
  <c r="L15" i="1" s="1"/>
  <c r="K16" i="1"/>
  <c r="L16" i="1" s="1"/>
  <c r="K17" i="1"/>
  <c r="L17" i="1" s="1"/>
  <c r="K18" i="1"/>
  <c r="L18" i="1" s="1"/>
  <c r="K19" i="1"/>
  <c r="L19" i="1" s="1"/>
  <c r="K20" i="1"/>
  <c r="L20" i="1" s="1"/>
  <c r="K21" i="1"/>
  <c r="L21" i="1" s="1"/>
  <c r="K8" i="1"/>
  <c r="L8" i="1" s="1"/>
  <c r="G9" i="1" l="1"/>
  <c r="H9" i="1" s="1"/>
  <c r="G10" i="1" s="1"/>
  <c r="H10" i="1" s="1"/>
  <c r="G11" i="1" s="1"/>
  <c r="H11" i="1" s="1"/>
  <c r="G12" i="1" s="1"/>
  <c r="H12" i="1" l="1"/>
  <c r="G13" i="1" s="1"/>
  <c r="H13" i="1" s="1"/>
  <c r="G14" i="1" s="1"/>
  <c r="H14" i="1" s="1"/>
  <c r="G15" i="1" s="1"/>
  <c r="H15" i="1" s="1"/>
  <c r="G16" i="1" s="1"/>
  <c r="H16" i="1" l="1"/>
  <c r="G17" i="1" s="1"/>
  <c r="H17" i="1" l="1"/>
  <c r="G18" i="1" s="1"/>
  <c r="H18" i="1" s="1"/>
  <c r="G19" i="1" s="1"/>
  <c r="H19" i="1" s="1"/>
  <c r="G20" i="1" s="1"/>
  <c r="H20" i="1" s="1"/>
  <c r="G21" i="1" s="1"/>
  <c r="H21" i="1" s="1"/>
  <c r="G22" i="1" s="1"/>
  <c r="H22" i="1" s="1"/>
</calcChain>
</file>

<file path=xl/sharedStrings.xml><?xml version="1.0" encoding="utf-8"?>
<sst xmlns="http://schemas.openxmlformats.org/spreadsheetml/2006/main" count="31" uniqueCount="31">
  <si>
    <t>Fecha de Inicio</t>
  </si>
  <si>
    <t>Fecha de Finalización</t>
  </si>
  <si>
    <t>Duración</t>
  </si>
  <si>
    <t>Progreso</t>
  </si>
  <si>
    <t>Días completados</t>
  </si>
  <si>
    <t>Días para finalizar</t>
  </si>
  <si>
    <t>Proyecto ServiRep</t>
  </si>
  <si>
    <t>Sprint 1</t>
  </si>
  <si>
    <t>Sprint 2</t>
  </si>
  <si>
    <t>Sprint 3</t>
  </si>
  <si>
    <t>Sprint 4</t>
  </si>
  <si>
    <t>Modelo BBDD</t>
  </si>
  <si>
    <t>MockUps</t>
  </si>
  <si>
    <t>Revisión Login y Registro</t>
  </si>
  <si>
    <t>Validaciones Login y Registro</t>
  </si>
  <si>
    <t xml:space="preserve">Sprint </t>
  </si>
  <si>
    <t>Consultar Ticket Gestor (Inc Modificaciónes)</t>
  </si>
  <si>
    <t>Creación Ticket Gestor</t>
  </si>
  <si>
    <t>Consultar Tareas Operario (Inc Modificaciones)</t>
  </si>
  <si>
    <t>Ranking Trabajadores</t>
  </si>
  <si>
    <t>Foro</t>
  </si>
  <si>
    <t>Navegación sin funcionalidad (Contenido general)</t>
  </si>
  <si>
    <t>Revisión funcionamiento general, errores…</t>
  </si>
  <si>
    <t>Revisión Documentación</t>
  </si>
  <si>
    <t>Sprint 5</t>
  </si>
  <si>
    <t xml:space="preserve">Tareas </t>
  </si>
  <si>
    <t>Sprint Final</t>
  </si>
  <si>
    <t>Dockerizar proyecto</t>
  </si>
  <si>
    <t>Administrar usuarios (Admin)</t>
  </si>
  <si>
    <t>Contacto (Crear incidencia Usuario)</t>
  </si>
  <si>
    <t>Consultar Ticket Usuario (Inc Modificar)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</si>
</sst>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 * #,##0.00_ ;_ * \-#,##0.00_ ;_ * &quot;-&quot;??_ ;_ @_ 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trike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double">
        <color theme="0" tint="-0.34998626667073579"/>
      </left>
      <right style="thin">
        <color theme="0" tint="-0.34998626667073579"/>
      </right>
      <top style="double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double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double">
        <color theme="0" tint="-0.34998626667073579"/>
      </right>
      <top style="double">
        <color theme="0" tint="-0.34998626667073579"/>
      </top>
      <bottom style="thin">
        <color theme="0" tint="-0.34998626667073579"/>
      </bottom>
      <diagonal/>
    </border>
    <border>
      <left style="double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double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rgb="FFC8C8C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double">
        <color theme="0" tint="-0.34998626667073579"/>
      </left>
      <right style="thin">
        <color theme="0" tint="-0.34998626667073579"/>
      </right>
      <top/>
      <bottom style="double">
        <color theme="0" tint="-0.34998626667073579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theme="0" tint="-0.34998626667073579"/>
      </left>
      <right/>
      <top/>
      <bottom style="double">
        <color theme="0" tint="-0.34998626667073579"/>
      </bottom>
      <diagonal/>
    </border>
    <border>
      <left/>
      <right style="thin">
        <color theme="0" tint="-0.34998626667073579"/>
      </right>
      <top/>
      <bottom style="double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double">
        <color theme="0" tint="-0.34998626667073579"/>
      </bottom>
      <diagonal/>
    </border>
    <border>
      <left style="thin">
        <color theme="0" tint="-0.34998626667073579"/>
      </left>
      <right style="double">
        <color theme="0" tint="-0.34998626667073579"/>
      </right>
      <top/>
      <bottom style="double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2" tint="-9.9948118533890809E-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39">
    <xf numFmtId="0" fontId="0" fillId="0" borderId="0" xfId="0"/>
    <xf numFmtId="0" fontId="0" fillId="0" borderId="0" xfId="0" applyBorder="1"/>
    <xf numFmtId="0" fontId="2" fillId="0" borderId="1" xfId="0" applyFont="1" applyFill="1" applyBorder="1" applyAlignment="1">
      <alignment horizontal="center"/>
    </xf>
    <xf numFmtId="1" fontId="0" fillId="0" borderId="1" xfId="1" applyNumberFormat="1" applyFont="1" applyFill="1" applyBorder="1" applyAlignment="1">
      <alignment horizontal="center"/>
    </xf>
    <xf numFmtId="1" fontId="0" fillId="0" borderId="1" xfId="0" applyNumberFormat="1" applyFill="1" applyBorder="1" applyAlignment="1">
      <alignment horizontal="center"/>
    </xf>
    <xf numFmtId="0" fontId="0" fillId="0" borderId="0" xfId="0" applyFill="1"/>
    <xf numFmtId="0" fontId="0" fillId="0" borderId="8" xfId="0" applyBorder="1"/>
    <xf numFmtId="0" fontId="0" fillId="0" borderId="1" xfId="0" applyFill="1" applyBorder="1" applyAlignment="1">
      <alignment horizontal="center"/>
    </xf>
    <xf numFmtId="14" fontId="0" fillId="0" borderId="1" xfId="0" applyNumberForma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3" fillId="0" borderId="5" xfId="0" applyFont="1" applyBorder="1"/>
    <xf numFmtId="14" fontId="3" fillId="0" borderId="6" xfId="0" applyNumberFormat="1" applyFont="1" applyBorder="1"/>
    <xf numFmtId="0" fontId="3" fillId="0" borderId="6" xfId="0" applyFont="1" applyBorder="1"/>
    <xf numFmtId="9" fontId="3" fillId="0" borderId="6" xfId="0" applyNumberFormat="1" applyFont="1" applyBorder="1"/>
    <xf numFmtId="0" fontId="3" fillId="3" borderId="7" xfId="0" applyFont="1" applyFill="1" applyBorder="1"/>
    <xf numFmtId="14" fontId="3" fillId="0" borderId="14" xfId="0" applyNumberFormat="1" applyFont="1" applyBorder="1"/>
    <xf numFmtId="0" fontId="3" fillId="0" borderId="15" xfId="0" applyFont="1" applyBorder="1"/>
    <xf numFmtId="14" fontId="3" fillId="0" borderId="16" xfId="0" applyNumberFormat="1" applyFont="1" applyBorder="1"/>
    <xf numFmtId="14" fontId="3" fillId="0" borderId="9" xfId="0" applyNumberFormat="1" applyFont="1" applyBorder="1"/>
    <xf numFmtId="14" fontId="3" fillId="0" borderId="17" xfId="0" applyNumberFormat="1" applyFont="1" applyBorder="1"/>
    <xf numFmtId="0" fontId="3" fillId="0" borderId="18" xfId="0" applyFont="1" applyBorder="1"/>
    <xf numFmtId="14" fontId="3" fillId="0" borderId="22" xfId="0" applyNumberFormat="1" applyFont="1" applyBorder="1"/>
    <xf numFmtId="0" fontId="3" fillId="0" borderId="23" xfId="0" applyFont="1" applyBorder="1"/>
    <xf numFmtId="9" fontId="3" fillId="0" borderId="24" xfId="0" applyNumberFormat="1" applyFont="1" applyBorder="1"/>
    <xf numFmtId="0" fontId="3" fillId="0" borderId="24" xfId="0" applyFont="1" applyBorder="1"/>
    <xf numFmtId="0" fontId="3" fillId="3" borderId="25" xfId="0" applyFont="1" applyFill="1" applyBorder="1"/>
    <xf numFmtId="0" fontId="3" fillId="0" borderId="26" xfId="0" applyFont="1" applyBorder="1"/>
    <xf numFmtId="14" fontId="3" fillId="0" borderId="27" xfId="0" applyNumberFormat="1" applyFont="1" applyBorder="1"/>
    <xf numFmtId="0" fontId="6" fillId="0" borderId="5" xfId="0" applyFont="1" applyBorder="1"/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74438312512986E-2"/>
          <c:y val="8.253605352424824E-2"/>
          <c:w val="0.92755914748193136"/>
          <c:h val="0.8011581779943902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Gantt!$G$7</c:f>
              <c:strCache>
                <c:ptCount val="1"/>
                <c:pt idx="0">
                  <c:v>Fecha de Inicio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Gantt!$F$8:$F$22</c:f>
              <c:strCache>
                <c:ptCount val="15"/>
                <c:pt idx="0">
                  <c:v>Modelo BBDD</c:v>
                </c:pt>
                <c:pt idx="1">
                  <c:v>MockUps</c:v>
                </c:pt>
                <c:pt idx="2">
                  <c:v>Revisión Login y Registro</c:v>
                </c:pt>
                <c:pt idx="3">
                  <c:v>Validaciones Login y Registro</c:v>
                </c:pt>
                <c:pt idx="4">
                  <c:v>Contacto (Crear incidencia Usuario)</c:v>
                </c:pt>
                <c:pt idx="5">
                  <c:v>Consultar Ticket Usuario (Inc Modificar)</c:v>
                </c:pt>
                <c:pt idx="6">
                  <c:v>Creación Ticket Gestor</c:v>
                </c:pt>
                <c:pt idx="7">
                  <c:v>Consultar Ticket Gestor (Inc Modificaciónes)</c:v>
                </c:pt>
                <c:pt idx="8">
                  <c:v>Consultar Tareas Operario (Inc Modificaciones)</c:v>
                </c:pt>
                <c:pt idx="9">
                  <c:v>Ranking Trabajadores</c:v>
                </c:pt>
                <c:pt idx="10">
                  <c:v>Foro</c:v>
                </c:pt>
                <c:pt idx="11">
                  <c:v>Navegación sin funcionalidad (Contenido general)</c:v>
                </c:pt>
                <c:pt idx="12">
                  <c:v>Administrar usuarios (Admin)</c:v>
                </c:pt>
                <c:pt idx="13">
                  <c:v>Revisión funcionamiento general, errores…</c:v>
                </c:pt>
                <c:pt idx="14">
                  <c:v>Dockerizar proyecto</c:v>
                </c:pt>
              </c:strCache>
            </c:strRef>
          </c:cat>
          <c:val>
            <c:numRef>
              <c:f>Gantt!$G$8:$G$22</c:f>
              <c:numCache>
                <c:formatCode>m/d/yyyy</c:formatCode>
                <c:ptCount val="15"/>
                <c:pt idx="0">
                  <c:v>44177</c:v>
                </c:pt>
                <c:pt idx="1">
                  <c:v>44179</c:v>
                </c:pt>
                <c:pt idx="2">
                  <c:v>44181</c:v>
                </c:pt>
                <c:pt idx="3">
                  <c:v>44185</c:v>
                </c:pt>
                <c:pt idx="4">
                  <c:v>44188</c:v>
                </c:pt>
                <c:pt idx="5">
                  <c:v>44194</c:v>
                </c:pt>
                <c:pt idx="6">
                  <c:v>44200</c:v>
                </c:pt>
                <c:pt idx="7">
                  <c:v>44206</c:v>
                </c:pt>
                <c:pt idx="8">
                  <c:v>44212</c:v>
                </c:pt>
                <c:pt idx="9">
                  <c:v>44218</c:v>
                </c:pt>
                <c:pt idx="10">
                  <c:v>44224</c:v>
                </c:pt>
                <c:pt idx="11">
                  <c:v>44230</c:v>
                </c:pt>
                <c:pt idx="12">
                  <c:v>44235</c:v>
                </c:pt>
                <c:pt idx="13">
                  <c:v>44240</c:v>
                </c:pt>
                <c:pt idx="14">
                  <c:v>44246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EA-44F8-A5E8-815CF025CC0B}"/>
            </c:ext>
          </c:extLst>
        </c:ser>
        <c:ser>
          <c:idx val="1"/>
          <c:order val="1"/>
          <c:tx>
            <c:strRef>
              <c:f>Gantt!$K$7</c:f>
              <c:strCache>
                <c:ptCount val="1"/>
                <c:pt idx="0">
                  <c:v>Días completados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val>
            <c:numRef>
              <c:f>Gantt!$K$8:$K$22</c:f>
              <c:numCache>
                <c:formatCode>General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2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4</c:v>
                </c:pt>
                <c:pt idx="12">
                  <c:v>4</c:v>
                </c:pt>
                <c:pt idx="13">
                  <c:v>5</c:v>
                </c:pt>
                <c:pt idx="1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EA-44F8-A5E8-815CF025CC0B}"/>
            </c:ext>
          </c:extLst>
        </c:ser>
        <c:ser>
          <c:idx val="2"/>
          <c:order val="2"/>
          <c:tx>
            <c:strRef>
              <c:f>Gantt!$L$7</c:f>
              <c:strCache>
                <c:ptCount val="1"/>
                <c:pt idx="0">
                  <c:v>Días para finalizar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 prstMaterial="matte"/>
          </c:spPr>
          <c:invertIfNegative val="0"/>
          <c:val>
            <c:numRef>
              <c:f>Gantt!$L$8:$L$22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2EA-44F8-A5E8-815CF025C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6"/>
        <c:overlap val="100"/>
        <c:axId val="441708000"/>
        <c:axId val="318042128"/>
      </c:barChart>
      <c:catAx>
        <c:axId val="44170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/>
            </a:solidFill>
            <a:round/>
          </a:ln>
          <a:effectLst>
            <a:outerShdw blurRad="50800" dist="50800" dir="5400000" sx="10000" sy="10000" algn="ctr" rotWithShape="0">
              <a:schemeClr val="bg2">
                <a:alpha val="59000"/>
              </a:schemeClr>
            </a:outerShdw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8042128"/>
        <c:crosses val="autoZero"/>
        <c:auto val="1"/>
        <c:lblAlgn val="ctr"/>
        <c:lblOffset val="100"/>
        <c:noMultiLvlLbl val="0"/>
      </c:catAx>
      <c:valAx>
        <c:axId val="318042128"/>
        <c:scaling>
          <c:orientation val="minMax"/>
          <c:min val="44177"/>
        </c:scaling>
        <c:delete val="0"/>
        <c:axPos val="t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d/m/yy" sourceLinked="0"/>
        <c:majorTickMark val="none"/>
        <c:minorTickMark val="none"/>
        <c:tickLblPos val="nextTo"/>
        <c:spPr>
          <a:noFill/>
          <a:ln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41708000"/>
        <c:crosses val="autoZero"/>
        <c:crossBetween val="between"/>
        <c:majorUnit val="4"/>
        <c:minorUnit val="1"/>
      </c:valAx>
      <c:spPr>
        <a:solidFill>
          <a:schemeClr val="bg1">
            <a:lumMod val="85000"/>
          </a:schemeClr>
        </a:solidFill>
        <a:ln>
          <a:solidFill>
            <a:schemeClr val="bg1">
              <a:alpha val="98000"/>
            </a:schemeClr>
          </a:solidFill>
        </a:ln>
        <a:effectLst/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0.33068099845290599"/>
          <c:y val="0.92209291008618388"/>
          <c:w val="0.2541805250883229"/>
          <c:h val="6.55053638279083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http://planillaexcel.com?ref=spreadsheet_logo" TargetMode="External"/><Relationship Id="rId1" Type="http://schemas.openxmlformats.org/officeDocument/2006/relationships/chart" Target="../charts/chart1.xml"/><Relationship Id="rId5" Type="http://schemas.openxmlformats.org/officeDocument/2006/relationships/image" Target="file:///C:\Users\Cecilia\AppData\Roaming\Microsoft\Excel\XLSTART/header/envelope.png" TargetMode="External"/><Relationship Id="rId4" Type="http://schemas.openxmlformats.org/officeDocument/2006/relationships/hyperlink" Target="http://planillaexcel.com/contactanos?ref=spreadsheet_contact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</xdr:row>
      <xdr:rowOff>142876</xdr:rowOff>
    </xdr:from>
    <xdr:to>
      <xdr:col>11</xdr:col>
      <xdr:colOff>352425</xdr:colOff>
      <xdr:row>16</xdr:row>
      <xdr:rowOff>47626</xdr:rowOff>
    </xdr:to>
    <xdr:sp macro="" textlink="">
      <xdr:nvSpPr>
        <xdr:cNvPr id="2" name="CuadroTexto 1"/>
        <xdr:cNvSpPr txBox="1"/>
      </xdr:nvSpPr>
      <xdr:spPr>
        <a:xfrm>
          <a:off x="847725" y="333376"/>
          <a:ext cx="7886700" cy="2762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1100"/>
            <a:t>Instrucciones de Uso</a:t>
          </a:r>
        </a:p>
        <a:p>
          <a:r>
            <a:rPr lang="es-AR" sz="1100"/>
            <a:t>1ero Activa las macros</a:t>
          </a:r>
        </a:p>
        <a:p>
          <a:endParaRPr lang="es-AR" sz="1100"/>
        </a:p>
        <a:p>
          <a:r>
            <a:rPr lang="es-AR" sz="1100"/>
            <a:t>2do Debes completar las</a:t>
          </a:r>
          <a:r>
            <a:rPr lang="es-AR" sz="1100" baseline="0"/>
            <a:t> columnas del cuadro:</a:t>
          </a:r>
        </a:p>
        <a:p>
          <a:pPr lvl="1"/>
          <a:r>
            <a:rPr lang="es-AR" sz="1100" baseline="0"/>
            <a:t>Etapa</a:t>
          </a:r>
        </a:p>
        <a:p>
          <a:pPr lvl="1"/>
          <a:r>
            <a:rPr lang="es-AR" sz="1100" baseline="0"/>
            <a:t>Fecha de inicio</a:t>
          </a:r>
        </a:p>
        <a:p>
          <a:pPr lvl="1"/>
          <a:r>
            <a:rPr lang="es-AR" sz="1100" baseline="0"/>
            <a:t>Fecha de finalización</a:t>
          </a:r>
        </a:p>
        <a:p>
          <a:pPr lvl="1"/>
          <a:r>
            <a:rPr lang="es-AR" sz="1100" baseline="0"/>
            <a:t>Duración</a:t>
          </a:r>
        </a:p>
        <a:p>
          <a:pPr lvl="1"/>
          <a:r>
            <a:rPr lang="es-AR" sz="1100" baseline="0"/>
            <a:t>Progreso </a:t>
          </a:r>
        </a:p>
        <a:p>
          <a:pPr lvl="1"/>
          <a:r>
            <a:rPr lang="es-AR" sz="1100" baseline="0"/>
            <a:t>Días completados</a:t>
          </a:r>
        </a:p>
        <a:p>
          <a:r>
            <a:rPr lang="es-AR" sz="1100" baseline="0"/>
            <a:t>La columna días para finalizar es automática, no se completa.</a:t>
          </a:r>
        </a:p>
        <a:p>
          <a:endParaRPr lang="es-AR" sz="1100" baseline="0"/>
        </a:p>
        <a:p>
          <a:r>
            <a:rPr lang="es-AR" sz="1100" baseline="0"/>
            <a:t>Una vez completado, debes clickear el botón actualizar ejes para que el gráfico se adapte a los nuevos días establecidos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26</xdr:row>
      <xdr:rowOff>118381</xdr:rowOff>
    </xdr:from>
    <xdr:to>
      <xdr:col>25</xdr:col>
      <xdr:colOff>209550</xdr:colOff>
      <xdr:row>58</xdr:row>
      <xdr:rowOff>166687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152400</xdr:colOff>
      <xdr:row>0</xdr:row>
      <xdr:rowOff>114300</xdr:rowOff>
    </xdr:from>
    <xdr:to>
      <xdr:col>1</xdr:col>
      <xdr:colOff>304800</xdr:colOff>
      <xdr:row>0</xdr:row>
      <xdr:rowOff>266700</xdr:rowOff>
    </xdr:to>
    <xdr:pic>
      <xdr:nvPicPr>
        <xdr:cNvPr id="3" name="logo">
          <a:hlinkClick xmlns:r="http://schemas.openxmlformats.org/officeDocument/2006/relationships" r:id="rId2"/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14300"/>
          <a:ext cx="1143000" cy="152400"/>
        </a:xfrm>
        <a:prstGeom prst="rect">
          <a:avLst/>
        </a:prstGeom>
      </xdr:spPr>
    </xdr:pic>
    <xdr:clientData/>
  </xdr:twoCellAnchor>
  <xdr:twoCellAnchor>
    <xdr:from>
      <xdr:col>1</xdr:col>
      <xdr:colOff>279400</xdr:colOff>
      <xdr:row>0</xdr:row>
      <xdr:rowOff>104140</xdr:rowOff>
    </xdr:from>
    <xdr:to>
      <xdr:col>3</xdr:col>
      <xdr:colOff>758825</xdr:colOff>
      <xdr:row>0</xdr:row>
      <xdr:rowOff>358140</xdr:rowOff>
    </xdr:to>
    <xdr:sp macro="" textlink="">
      <xdr:nvSpPr>
        <xdr:cNvPr id="4" name="subtitle"/>
        <xdr:cNvSpPr txBox="1"/>
      </xdr:nvSpPr>
      <xdr:spPr>
        <a:xfrm>
          <a:off x="1270000" y="104140"/>
          <a:ext cx="3175000" cy="254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AR" sz="900" i="1">
              <a:solidFill>
                <a:srgbClr val="969696"/>
              </a:solidFill>
            </a:rPr>
            <a:t>Las planillas de Excel más útiles, en un solo lugar.</a:t>
          </a:r>
        </a:p>
      </xdr:txBody>
    </xdr:sp>
    <xdr:clientData/>
  </xdr:twoCellAnchor>
  <xdr:twoCellAnchor>
    <xdr:from>
      <xdr:col>5</xdr:col>
      <xdr:colOff>771525</xdr:colOff>
      <xdr:row>0</xdr:row>
      <xdr:rowOff>101600</xdr:rowOff>
    </xdr:from>
    <xdr:to>
      <xdr:col>8</xdr:col>
      <xdr:colOff>44450</xdr:colOff>
      <xdr:row>0</xdr:row>
      <xdr:rowOff>355600</xdr:rowOff>
    </xdr:to>
    <xdr:sp macro="" textlink="">
      <xdr:nvSpPr>
        <xdr:cNvPr id="5" name="contactBox">
          <a:hlinkClick xmlns:r="http://schemas.openxmlformats.org/officeDocument/2006/relationships" r:id="rId4"/>
        </xdr:cNvPr>
        <xdr:cNvSpPr txBox="1"/>
      </xdr:nvSpPr>
      <xdr:spPr>
        <a:xfrm>
          <a:off x="7620000" y="101600"/>
          <a:ext cx="2921000" cy="254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AR" sz="1000">
              <a:solidFill>
                <a:srgbClr val="787878"/>
              </a:solidFill>
            </a:rPr>
            <a:t>¿Necesitas ayuda con esta planilla? </a:t>
          </a:r>
          <a:r>
            <a:rPr lang="es-AR" sz="1000">
              <a:solidFill>
                <a:srgbClr val="458FFD"/>
              </a:solidFill>
            </a:rPr>
            <a:t> Contáctanos</a:t>
          </a:r>
        </a:p>
      </xdr:txBody>
    </xdr:sp>
    <xdr:clientData/>
  </xdr:twoCellAnchor>
  <xdr:twoCellAnchor editAs="absolute">
    <xdr:from>
      <xdr:col>7</xdr:col>
      <xdr:colOff>103620</xdr:colOff>
      <xdr:row>0</xdr:row>
      <xdr:rowOff>152400</xdr:rowOff>
    </xdr:from>
    <xdr:to>
      <xdr:col>7</xdr:col>
      <xdr:colOff>256020</xdr:colOff>
      <xdr:row>0</xdr:row>
      <xdr:rowOff>304800</xdr:rowOff>
    </xdr:to>
    <xdr:pic>
      <xdr:nvPicPr>
        <xdr:cNvPr id="6" name="mailIcon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0299700" y="152400"/>
          <a:ext cx="152400" cy="152400"/>
        </a:xfrm>
        <a:prstGeom prst="rect">
          <a:avLst/>
        </a:prstGeom>
      </xdr:spPr>
    </xdr:pic>
    <xdr:clientData/>
  </xdr:twoCellAnchor>
  <xdr:twoCellAnchor>
    <xdr:from>
      <xdr:col>14</xdr:col>
      <xdr:colOff>685800</xdr:colOff>
      <xdr:row>7</xdr:row>
      <xdr:rowOff>76200</xdr:rowOff>
    </xdr:from>
    <xdr:to>
      <xdr:col>18</xdr:col>
      <xdr:colOff>590550</xdr:colOff>
      <xdr:row>11</xdr:row>
      <xdr:rowOff>0</xdr:rowOff>
    </xdr:to>
    <xdr:sp macro="[0]!ejes" textlink="">
      <xdr:nvSpPr>
        <xdr:cNvPr id="7" name="Rectángulo redondeado 6"/>
        <xdr:cNvSpPr/>
      </xdr:nvSpPr>
      <xdr:spPr>
        <a:xfrm>
          <a:off x="19488150" y="1809750"/>
          <a:ext cx="2952750" cy="914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2000"/>
            <a:t>Actualizar Ejes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showGridLines="0" workbookViewId="0">
      <selection activeCell="O19" sqref="O1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V49"/>
  <sheetViews>
    <sheetView showGridLines="0" tabSelected="1" topLeftCell="A4" zoomScale="55" zoomScaleNormal="55" workbookViewId="0">
      <selection activeCell="N22" sqref="N22"/>
    </sheetView>
  </sheetViews>
  <sheetFormatPr baseColWidth="10" defaultRowHeight="15" x14ac:dyDescent="0.25"/>
  <cols>
    <col min="1" max="1" width="14.85546875" customWidth="1"/>
    <col min="2" max="2" width="20.28515625" customWidth="1"/>
    <col min="3" max="3" width="9.28515625" customWidth="1"/>
    <col min="4" max="4" width="19.7109375" customWidth="1"/>
    <col min="5" max="5" width="24" hidden="1" customWidth="1"/>
    <col min="6" max="6" width="64.5703125" customWidth="1"/>
    <col min="7" max="7" width="23.85546875" customWidth="1"/>
    <col min="8" max="8" width="35.140625" bestFit="1" customWidth="1"/>
    <col min="9" max="9" width="22.5703125" bestFit="1" customWidth="1"/>
    <col min="10" max="10" width="16.5703125" bestFit="1" customWidth="1"/>
    <col min="11" max="11" width="30.85546875" bestFit="1" customWidth="1"/>
    <col min="12" max="12" width="29.140625" bestFit="1" customWidth="1"/>
  </cols>
  <sheetData>
    <row r="1" spans="2:22" s="6" customFormat="1" ht="30" customHeight="1" x14ac:dyDescent="0.25"/>
    <row r="2" spans="2:22" ht="15" customHeight="1" x14ac:dyDescent="0.25"/>
    <row r="3" spans="2:22" ht="15" customHeight="1" x14ac:dyDescent="0.25"/>
    <row r="4" spans="2:22" ht="15" customHeight="1" x14ac:dyDescent="0.25"/>
    <row r="5" spans="2:22" ht="22.5" customHeight="1" x14ac:dyDescent="0.35">
      <c r="B5" s="34" t="s">
        <v>6</v>
      </c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</row>
    <row r="6" spans="2:22" ht="15.75" thickBot="1" x14ac:dyDescent="0.3"/>
    <row r="7" spans="2:22" ht="21.75" thickTop="1" x14ac:dyDescent="0.35">
      <c r="D7" s="9" t="s">
        <v>15</v>
      </c>
      <c r="F7" s="9" t="s">
        <v>25</v>
      </c>
      <c r="G7" s="10" t="s">
        <v>0</v>
      </c>
      <c r="H7" s="10" t="s">
        <v>1</v>
      </c>
      <c r="I7" s="10" t="s">
        <v>2</v>
      </c>
      <c r="J7" s="10" t="s">
        <v>3</v>
      </c>
      <c r="K7" s="10" t="s">
        <v>4</v>
      </c>
      <c r="L7" s="11" t="s">
        <v>5</v>
      </c>
      <c r="M7" s="7"/>
      <c r="N7" s="7"/>
      <c r="O7" s="7"/>
      <c r="P7" s="7"/>
      <c r="Q7" s="7"/>
      <c r="R7" s="7"/>
      <c r="S7" s="7"/>
    </row>
    <row r="8" spans="2:22" ht="18.75" x14ac:dyDescent="0.3">
      <c r="D8" s="35" t="s">
        <v>7</v>
      </c>
      <c r="F8" s="12" t="s">
        <v>11</v>
      </c>
      <c r="G8" s="13">
        <v>44177</v>
      </c>
      <c r="H8" s="13">
        <f>I8+G8</f>
        <v>44178</v>
      </c>
      <c r="I8" s="14">
        <v>1</v>
      </c>
      <c r="J8" s="15">
        <v>1</v>
      </c>
      <c r="K8" s="14">
        <f>+I8*J8</f>
        <v>1</v>
      </c>
      <c r="L8" s="16">
        <f>I8-K8</f>
        <v>0</v>
      </c>
      <c r="M8" s="2"/>
      <c r="N8" s="2"/>
      <c r="O8" s="2"/>
      <c r="P8" s="2"/>
      <c r="Q8" s="2"/>
      <c r="R8" s="2"/>
      <c r="S8" s="2"/>
    </row>
    <row r="9" spans="2:22" ht="18.75" x14ac:dyDescent="0.3">
      <c r="D9" s="36"/>
      <c r="F9" s="12" t="s">
        <v>12</v>
      </c>
      <c r="G9" s="13">
        <f>H8+1</f>
        <v>44179</v>
      </c>
      <c r="H9" s="13">
        <f>I9+G9</f>
        <v>44180</v>
      </c>
      <c r="I9" s="14">
        <v>1</v>
      </c>
      <c r="J9" s="15">
        <v>1</v>
      </c>
      <c r="K9" s="14">
        <f t="shared" ref="K9:K22" si="0">+I9*J9</f>
        <v>1</v>
      </c>
      <c r="L9" s="16">
        <f t="shared" ref="L9:L22" si="1">I9-K9</f>
        <v>0</v>
      </c>
      <c r="M9" s="8"/>
      <c r="N9" s="3"/>
      <c r="O9" s="7"/>
      <c r="P9" s="7"/>
      <c r="Q9" s="8"/>
      <c r="R9" s="8"/>
      <c r="S9" s="4"/>
    </row>
    <row r="10" spans="2:22" ht="19.5" thickBot="1" x14ac:dyDescent="0.35">
      <c r="D10" s="36"/>
      <c r="F10" s="12" t="s">
        <v>13</v>
      </c>
      <c r="G10" s="13">
        <f>H9+1</f>
        <v>44181</v>
      </c>
      <c r="H10" s="19">
        <f t="shared" ref="H10:H21" si="2">I10+G10</f>
        <v>44184</v>
      </c>
      <c r="I10" s="14">
        <v>3</v>
      </c>
      <c r="J10" s="15">
        <v>1</v>
      </c>
      <c r="K10" s="14">
        <f t="shared" si="0"/>
        <v>3</v>
      </c>
      <c r="L10" s="16">
        <f t="shared" si="1"/>
        <v>0</v>
      </c>
      <c r="M10" s="8"/>
      <c r="N10" s="3"/>
      <c r="O10" s="7"/>
      <c r="P10" s="7"/>
      <c r="Q10" s="8"/>
      <c r="R10" s="8"/>
      <c r="S10" s="4"/>
    </row>
    <row r="11" spans="2:22" ht="19.5" thickBot="1" x14ac:dyDescent="0.35">
      <c r="D11" s="36"/>
      <c r="F11" s="12" t="s">
        <v>14</v>
      </c>
      <c r="G11" s="17">
        <f t="shared" ref="G11:G22" si="3">H10+1</f>
        <v>44185</v>
      </c>
      <c r="H11" s="20">
        <f t="shared" si="2"/>
        <v>44187</v>
      </c>
      <c r="I11" s="18">
        <v>2</v>
      </c>
      <c r="J11" s="15">
        <v>1</v>
      </c>
      <c r="K11" s="14">
        <f t="shared" si="0"/>
        <v>2</v>
      </c>
      <c r="L11" s="16">
        <f t="shared" si="1"/>
        <v>0</v>
      </c>
      <c r="M11" s="5"/>
      <c r="N11" s="5"/>
      <c r="O11" s="5"/>
      <c r="P11" s="5"/>
      <c r="Q11" s="5"/>
      <c r="R11" s="5"/>
      <c r="S11" s="5"/>
    </row>
    <row r="12" spans="2:22" ht="19.5" thickBot="1" x14ac:dyDescent="0.35">
      <c r="D12" s="37" t="s">
        <v>8</v>
      </c>
      <c r="F12" s="12" t="s">
        <v>29</v>
      </c>
      <c r="G12" s="13">
        <f t="shared" si="3"/>
        <v>44188</v>
      </c>
      <c r="H12" s="21">
        <f>I12+G12</f>
        <v>44193</v>
      </c>
      <c r="I12" s="14">
        <v>5</v>
      </c>
      <c r="J12" s="15">
        <v>1</v>
      </c>
      <c r="K12" s="14">
        <f t="shared" si="0"/>
        <v>5</v>
      </c>
      <c r="L12" s="16">
        <f t="shared" si="1"/>
        <v>0</v>
      </c>
    </row>
    <row r="13" spans="2:22" ht="19.5" thickBot="1" x14ac:dyDescent="0.35">
      <c r="D13" s="38"/>
      <c r="F13" s="12" t="s">
        <v>30</v>
      </c>
      <c r="G13" s="17">
        <f t="shared" si="3"/>
        <v>44194</v>
      </c>
      <c r="H13" s="20">
        <f>I13+G13</f>
        <v>44199</v>
      </c>
      <c r="I13" s="18">
        <v>5</v>
      </c>
      <c r="J13" s="15">
        <v>1</v>
      </c>
      <c r="K13" s="14">
        <f t="shared" si="0"/>
        <v>5</v>
      </c>
      <c r="L13" s="16">
        <f t="shared" si="1"/>
        <v>0</v>
      </c>
    </row>
    <row r="14" spans="2:22" ht="19.5" thickBot="1" x14ac:dyDescent="0.35">
      <c r="D14" s="37" t="s">
        <v>9</v>
      </c>
      <c r="F14" s="30" t="s">
        <v>17</v>
      </c>
      <c r="G14" s="13">
        <f t="shared" si="3"/>
        <v>44200</v>
      </c>
      <c r="H14" s="21">
        <f t="shared" si="2"/>
        <v>44205</v>
      </c>
      <c r="I14" s="14">
        <v>5</v>
      </c>
      <c r="J14" s="15">
        <v>1</v>
      </c>
      <c r="K14" s="14">
        <f t="shared" si="0"/>
        <v>5</v>
      </c>
      <c r="L14" s="16">
        <f t="shared" si="1"/>
        <v>0</v>
      </c>
    </row>
    <row r="15" spans="2:22" ht="19.5" thickBot="1" x14ac:dyDescent="0.35">
      <c r="D15" s="38"/>
      <c r="F15" s="12" t="s">
        <v>16</v>
      </c>
      <c r="G15" s="17">
        <f t="shared" si="3"/>
        <v>44206</v>
      </c>
      <c r="H15" s="20">
        <f t="shared" si="2"/>
        <v>44211</v>
      </c>
      <c r="I15" s="18">
        <v>5</v>
      </c>
      <c r="J15" s="15">
        <v>1</v>
      </c>
      <c r="K15" s="14">
        <f t="shared" si="0"/>
        <v>5</v>
      </c>
      <c r="L15" s="16">
        <f t="shared" si="1"/>
        <v>0</v>
      </c>
    </row>
    <row r="16" spans="2:22" ht="19.5" thickBot="1" x14ac:dyDescent="0.35">
      <c r="D16" s="37" t="s">
        <v>10</v>
      </c>
      <c r="F16" s="12" t="s">
        <v>18</v>
      </c>
      <c r="G16" s="13">
        <f t="shared" si="3"/>
        <v>44212</v>
      </c>
      <c r="H16" s="21">
        <f>I16+G16</f>
        <v>44217</v>
      </c>
      <c r="I16" s="14">
        <v>5</v>
      </c>
      <c r="J16" s="15">
        <v>1</v>
      </c>
      <c r="K16" s="14">
        <f t="shared" si="0"/>
        <v>5</v>
      </c>
      <c r="L16" s="16">
        <f t="shared" si="1"/>
        <v>0</v>
      </c>
    </row>
    <row r="17" spans="4:12" ht="19.5" thickBot="1" x14ac:dyDescent="0.35">
      <c r="D17" s="36"/>
      <c r="F17" s="12" t="s">
        <v>19</v>
      </c>
      <c r="G17" s="17">
        <f t="shared" si="3"/>
        <v>44218</v>
      </c>
      <c r="H17" s="20">
        <f>I17+G17</f>
        <v>44223</v>
      </c>
      <c r="I17" s="18">
        <v>5</v>
      </c>
      <c r="J17" s="15">
        <v>1</v>
      </c>
      <c r="K17" s="14">
        <f t="shared" si="0"/>
        <v>5</v>
      </c>
      <c r="L17" s="16">
        <f t="shared" si="1"/>
        <v>0</v>
      </c>
    </row>
    <row r="18" spans="4:12" ht="18.75" x14ac:dyDescent="0.3">
      <c r="D18" s="31" t="s">
        <v>24</v>
      </c>
      <c r="F18" s="12" t="s">
        <v>20</v>
      </c>
      <c r="G18" s="13">
        <f t="shared" si="3"/>
        <v>44224</v>
      </c>
      <c r="H18" s="21">
        <f t="shared" si="2"/>
        <v>44229</v>
      </c>
      <c r="I18" s="14">
        <v>5</v>
      </c>
      <c r="J18" s="15">
        <v>1</v>
      </c>
      <c r="K18" s="14">
        <f t="shared" si="0"/>
        <v>5</v>
      </c>
      <c r="L18" s="16">
        <f t="shared" si="1"/>
        <v>0</v>
      </c>
    </row>
    <row r="19" spans="4:12" ht="19.5" thickBot="1" x14ac:dyDescent="0.35">
      <c r="D19" s="32"/>
      <c r="F19" s="12" t="s">
        <v>21</v>
      </c>
      <c r="G19" s="17">
        <f t="shared" si="3"/>
        <v>44230</v>
      </c>
      <c r="H19" s="29">
        <f t="shared" si="2"/>
        <v>44234</v>
      </c>
      <c r="I19" s="18">
        <v>4</v>
      </c>
      <c r="J19" s="15">
        <v>1</v>
      </c>
      <c r="K19" s="14">
        <f t="shared" si="0"/>
        <v>4</v>
      </c>
      <c r="L19" s="16">
        <f t="shared" si="1"/>
        <v>0</v>
      </c>
    </row>
    <row r="20" spans="4:12" ht="19.5" thickBot="1" x14ac:dyDescent="0.35">
      <c r="D20" s="33"/>
      <c r="F20" s="12" t="s">
        <v>28</v>
      </c>
      <c r="G20" s="17">
        <f>H19+1</f>
        <v>44235</v>
      </c>
      <c r="H20" s="20">
        <f t="shared" si="2"/>
        <v>44239</v>
      </c>
      <c r="I20" s="18">
        <v>4</v>
      </c>
      <c r="J20" s="15">
        <v>1</v>
      </c>
      <c r="K20" s="14">
        <f t="shared" si="0"/>
        <v>4</v>
      </c>
      <c r="L20" s="16">
        <f t="shared" si="1"/>
        <v>0</v>
      </c>
    </row>
    <row r="21" spans="4:12" ht="18.75" x14ac:dyDescent="0.3">
      <c r="D21" s="31" t="s">
        <v>26</v>
      </c>
      <c r="F21" s="12" t="s">
        <v>22</v>
      </c>
      <c r="G21" s="13">
        <f t="shared" si="3"/>
        <v>44240</v>
      </c>
      <c r="H21" s="21">
        <f t="shared" si="2"/>
        <v>44245</v>
      </c>
      <c r="I21" s="14">
        <v>5</v>
      </c>
      <c r="J21" s="15">
        <v>1</v>
      </c>
      <c r="K21" s="14">
        <f t="shared" si="0"/>
        <v>5</v>
      </c>
      <c r="L21" s="16">
        <f t="shared" si="1"/>
        <v>0</v>
      </c>
    </row>
    <row r="22" spans="4:12" ht="19.5" thickBot="1" x14ac:dyDescent="0.35">
      <c r="D22" s="32"/>
      <c r="F22" s="12" t="s">
        <v>27</v>
      </c>
      <c r="G22" s="17">
        <f t="shared" si="3"/>
        <v>44246</v>
      </c>
      <c r="H22" s="29">
        <f>I22+G22</f>
        <v>44251</v>
      </c>
      <c r="I22" s="28">
        <v>5</v>
      </c>
      <c r="J22" s="15">
        <v>0.6</v>
      </c>
      <c r="K22" s="14">
        <f t="shared" si="0"/>
        <v>3</v>
      </c>
      <c r="L22" s="16">
        <f t="shared" si="1"/>
        <v>2</v>
      </c>
    </row>
    <row r="23" spans="4:12" ht="19.5" thickBot="1" x14ac:dyDescent="0.35">
      <c r="D23" s="33"/>
      <c r="F23" s="22" t="s">
        <v>23</v>
      </c>
      <c r="G23" s="23">
        <v>44252</v>
      </c>
      <c r="H23" s="20">
        <v>44259</v>
      </c>
      <c r="I23" s="24">
        <v>7</v>
      </c>
      <c r="J23" s="25">
        <v>0.4</v>
      </c>
      <c r="K23" s="26">
        <v>0</v>
      </c>
      <c r="L23" s="27">
        <v>7</v>
      </c>
    </row>
    <row r="48" s="1" customFormat="1" x14ac:dyDescent="0.25"/>
    <row r="49" s="1" customFormat="1" x14ac:dyDescent="0.25"/>
  </sheetData>
  <mergeCells count="7">
    <mergeCell ref="D18:D20"/>
    <mergeCell ref="D21:D23"/>
    <mergeCell ref="B5:V5"/>
    <mergeCell ref="D8:D11"/>
    <mergeCell ref="D12:D13"/>
    <mergeCell ref="D14:D15"/>
    <mergeCell ref="D16:D17"/>
  </mergeCells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Instrucciones</vt:lpstr>
      <vt:lpstr>Gantt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Planilla excel</dc:creator>
  <cp:lastModifiedBy>Raúl Naranjo</cp:lastModifiedBy>
  <dcterms:created xsi:type="dcterms:W3CDTF">2015-09-23T21:27:23Z</dcterms:created>
  <dcterms:modified xsi:type="dcterms:W3CDTF">2021-03-12T01:32:20Z</dcterms:modified>
</cp:coreProperties>
</file>